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Supply Chain\Gestão\Reportes\Relatório Mensal\"/>
    </mc:Choice>
  </mc:AlternateContent>
  <xr:revisionPtr revIDLastSave="0" documentId="13_ncr:1_{8E4E8A11-8BBD-42F3-8E14-8ABB89264CF4}" xr6:coauthVersionLast="47" xr6:coauthVersionMax="47" xr10:uidLastSave="{00000000-0000-0000-0000-000000000000}"/>
  <bookViews>
    <workbookView xWindow="-120" yWindow="-120" windowWidth="29040" windowHeight="15720" xr2:uid="{19CE77E3-4AC1-43FA-889F-0CF0F915B873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G43" i="1"/>
  <c r="K43" i="1"/>
  <c r="I43" i="1"/>
  <c r="T14" i="1"/>
  <c r="T15" i="1"/>
  <c r="T16" i="1"/>
  <c r="T17" i="1"/>
  <c r="T18" i="1"/>
  <c r="T19" i="1"/>
  <c r="T20" i="1"/>
  <c r="T21" i="1"/>
  <c r="T22" i="1"/>
</calcChain>
</file>

<file path=xl/sharedStrings.xml><?xml version="1.0" encoding="utf-8"?>
<sst xmlns="http://schemas.openxmlformats.org/spreadsheetml/2006/main" count="23" uniqueCount="23">
  <si>
    <t>Data</t>
  </si>
  <si>
    <t>USDBRL_GPC</t>
  </si>
  <si>
    <t>CNYBRL</t>
  </si>
  <si>
    <t>CNT_EU_EUR</t>
  </si>
  <si>
    <t>CNT_CN_USD</t>
  </si>
  <si>
    <t>CNT_GQ_USD</t>
  </si>
  <si>
    <t>CNT_CG_USD</t>
  </si>
  <si>
    <t>CNT_VC_USD</t>
  </si>
  <si>
    <t>USDBRL</t>
  </si>
  <si>
    <t>EURBRL</t>
  </si>
  <si>
    <t>BHKP_IM</t>
  </si>
  <si>
    <t>BHKP_EU</t>
  </si>
  <si>
    <t>BHKP_CN</t>
  </si>
  <si>
    <t>TIO2_IM</t>
  </si>
  <si>
    <t>TIO2_CN</t>
  </si>
  <si>
    <t>MEL_GPC</t>
  </si>
  <si>
    <t>MEL_CN</t>
  </si>
  <si>
    <t>URE_GPC</t>
  </si>
  <si>
    <t>URE_ME</t>
  </si>
  <si>
    <t>MET_GPC</t>
  </si>
  <si>
    <t>MET_MN</t>
  </si>
  <si>
    <t>RES_UF</t>
  </si>
  <si>
    <t>RES_MF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</si>
</sst>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([$€]* #,##0.00_);_([$€]* \(#,##0.00\);_([$€]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0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2">
    <xf numFmtId="0" fontId="0" fillId="0" borderId="0" xfId="0"/>
    <xf numFmtId="4" fontId="3" fillId="0" borderId="0" xfId="0" applyNumberFormat="1" applyFont="1"/>
    <xf numFmtId="4" fontId="3" fillId="0" borderId="0" xfId="2" applyNumberFormat="1" applyFont="1" applyFill="1"/>
    <xf numFmtId="4" fontId="3" fillId="0" borderId="0" xfId="0" applyNumberFormat="1" applyFont="1" applyAlignment="1">
      <alignment horizontal="right" vertical="center" wrapText="1" readingOrder="1"/>
    </xf>
    <xf numFmtId="4" fontId="3" fillId="0" borderId="0" xfId="1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" fontId="4" fillId="0" borderId="0" xfId="1" applyNumberFormat="1" applyFont="1" applyFill="1" applyAlignment="1">
      <alignment horizontal="center"/>
    </xf>
    <xf numFmtId="0" fontId="7" fillId="0" borderId="0" xfId="0" applyFont="1"/>
    <xf numFmtId="4" fontId="6" fillId="0" borderId="0" xfId="0" applyNumberFormat="1" applyFont="1"/>
    <xf numFmtId="4" fontId="6" fillId="0" borderId="0" xfId="2" applyNumberFormat="1" applyFont="1" applyFill="1"/>
    <xf numFmtId="0" fontId="8" fillId="0" borderId="0" xfId="0" applyFont="1"/>
    <xf numFmtId="4" fontId="9" fillId="0" borderId="0" xfId="0" applyNumberFormat="1" applyFont="1"/>
  </cellXfs>
  <cellStyles count="8">
    <cellStyle name="Comma" xfId="1" builtinId="3"/>
    <cellStyle name="Currency" xfId="2" builtinId="4"/>
    <cellStyle name="Euro" xfId="4" xr:uid="{49429507-BCA4-498E-AE47-B9F7C4C764C2}"/>
    <cellStyle name="Normal" xfId="0" builtinId="0"/>
    <cellStyle name="Normal 2" xfId="3" xr:uid="{05F23420-FD80-4D87-B572-62F0B3E30D3C}"/>
    <cellStyle name="Normal 3" xfId="5" xr:uid="{D2273DD1-AF80-4CB0-AA09-43B2D9F73096}"/>
    <cellStyle name="Porcentagem 2" xfId="6" xr:uid="{9C959853-9ADE-458C-973A-73559BBAFDEC}"/>
    <cellStyle name="Separador de milhares 2" xfId="7" xr:uid="{60356FE6-B4A5-41DD-B5A2-488836C04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CCE4-1984-402D-851F-C5F1CB7E5FA3}">
  <dimension ref="A1:W43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2" customWidth="1"/>
    <col min="2" max="13" width="12.7109375" customWidth="1"/>
    <col min="14" max="14" width="14.42578125" bestFit="1" customWidth="1"/>
    <col min="15" max="22" width="12.7109375" customWidth="1"/>
    <col min="23" max="23" width="10.7109375" customWidth="1"/>
  </cols>
  <sheetData>
    <row r="1" spans="1:23" s="10" customFormat="1" x14ac:dyDescent="0.25">
      <c r="A1" s="10" t="s">
        <v>0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1</v>
      </c>
      <c r="P1" s="10" t="s">
        <v>8</v>
      </c>
      <c r="Q1" s="10" t="s">
        <v>9</v>
      </c>
      <c r="R1" s="10" t="s">
        <v>2</v>
      </c>
      <c r="S1" s="10" t="s">
        <v>3</v>
      </c>
      <c r="T1" s="10" t="s">
        <v>4</v>
      </c>
      <c r="U1" s="10" t="s">
        <v>5</v>
      </c>
      <c r="V1" s="10" t="s">
        <v>6</v>
      </c>
      <c r="W1" s="10" t="s">
        <v>7</v>
      </c>
    </row>
    <row r="2" spans="1:23" x14ac:dyDescent="0.25">
      <c r="A2" s="5">
        <v>44927</v>
      </c>
      <c r="B2" s="1">
        <v>1379.9450000000002</v>
      </c>
      <c r="C2" s="8">
        <v>423.4</v>
      </c>
      <c r="D2" s="8">
        <v>800</v>
      </c>
      <c r="E2" s="2">
        <v>3400</v>
      </c>
      <c r="F2" s="9">
        <v>2348.9</v>
      </c>
      <c r="G2" s="1">
        <v>1749.22</v>
      </c>
      <c r="H2" s="8">
        <v>1245.0999999999999</v>
      </c>
      <c r="I2" s="1">
        <v>635.47</v>
      </c>
      <c r="J2" s="8">
        <v>443.8</v>
      </c>
      <c r="K2" s="1">
        <v>453.17</v>
      </c>
      <c r="L2" s="8">
        <v>575</v>
      </c>
      <c r="M2" s="1">
        <v>2985</v>
      </c>
      <c r="N2" s="1">
        <v>5713</v>
      </c>
      <c r="O2" s="1">
        <v>5.2423999999999999</v>
      </c>
      <c r="P2" s="1">
        <v>5.0731000000000002</v>
      </c>
      <c r="Q2" s="1">
        <v>5.5103999999999997</v>
      </c>
      <c r="R2" s="3">
        <v>0.751</v>
      </c>
      <c r="S2" s="6"/>
      <c r="T2" s="6"/>
      <c r="U2" s="6"/>
      <c r="V2" s="6"/>
      <c r="W2" s="6"/>
    </row>
    <row r="3" spans="1:23" x14ac:dyDescent="0.25">
      <c r="A3" s="5">
        <v>44958</v>
      </c>
      <c r="B3" s="1">
        <v>1331.1950000000002</v>
      </c>
      <c r="C3" s="8">
        <v>424.7</v>
      </c>
      <c r="D3" s="8">
        <v>757.3</v>
      </c>
      <c r="E3" s="2">
        <v>3400</v>
      </c>
      <c r="F3" s="9">
        <v>2379.1999999999998</v>
      </c>
      <c r="G3" s="1">
        <v>1699.22</v>
      </c>
      <c r="H3" s="8">
        <v>1176.7</v>
      </c>
      <c r="I3" s="1">
        <v>548.01</v>
      </c>
      <c r="J3" s="8">
        <v>357.5</v>
      </c>
      <c r="K3" s="1">
        <v>466.59</v>
      </c>
      <c r="L3" s="8">
        <v>575</v>
      </c>
      <c r="M3" s="1">
        <v>2771.15</v>
      </c>
      <c r="N3" s="1">
        <v>5677.28</v>
      </c>
      <c r="O3" s="1">
        <v>5.2007000000000003</v>
      </c>
      <c r="P3" s="1">
        <v>5.2366999999999999</v>
      </c>
      <c r="Q3" s="1">
        <v>5.5382999999999996</v>
      </c>
      <c r="R3" s="3">
        <v>0.75519999999999998</v>
      </c>
      <c r="S3" s="6"/>
      <c r="T3" s="6"/>
      <c r="U3" s="6"/>
      <c r="V3" s="6"/>
      <c r="W3" s="6"/>
    </row>
    <row r="4" spans="1:23" x14ac:dyDescent="0.25">
      <c r="A4" s="5">
        <v>44986</v>
      </c>
      <c r="B4" s="1">
        <v>1280.06</v>
      </c>
      <c r="C4" s="8">
        <v>425.7</v>
      </c>
      <c r="D4" s="8">
        <v>721.8</v>
      </c>
      <c r="E4" s="2">
        <v>3400</v>
      </c>
      <c r="F4" s="9">
        <v>2480.9</v>
      </c>
      <c r="G4" s="1">
        <v>1649.22</v>
      </c>
      <c r="H4" s="8">
        <v>1131.3</v>
      </c>
      <c r="I4" s="1">
        <v>484.57</v>
      </c>
      <c r="J4" s="8">
        <v>313.5</v>
      </c>
      <c r="K4" s="1">
        <v>473.41</v>
      </c>
      <c r="L4" s="8">
        <v>595</v>
      </c>
      <c r="M4" s="1">
        <v>2610.7800000000002</v>
      </c>
      <c r="N4" s="1">
        <v>5523.23</v>
      </c>
      <c r="O4" s="1">
        <v>5.1679000000000004</v>
      </c>
      <c r="P4" s="1">
        <v>5.0631000000000004</v>
      </c>
      <c r="Q4" s="1">
        <v>5.4878999999999998</v>
      </c>
      <c r="R4" s="3">
        <v>0.7369</v>
      </c>
      <c r="S4" s="6"/>
      <c r="T4" s="6"/>
      <c r="U4" s="6"/>
      <c r="V4" s="6"/>
      <c r="W4" s="6"/>
    </row>
    <row r="5" spans="1:23" x14ac:dyDescent="0.25">
      <c r="A5" s="5">
        <v>45017</v>
      </c>
      <c r="B5" s="1">
        <v>1212.21</v>
      </c>
      <c r="C5" s="8">
        <v>396.7</v>
      </c>
      <c r="D5" s="8">
        <v>612.79999999999995</v>
      </c>
      <c r="E5" s="2">
        <v>3400</v>
      </c>
      <c r="F5" s="9">
        <v>2470</v>
      </c>
      <c r="G5" s="1">
        <v>1395.01</v>
      </c>
      <c r="H5" s="8">
        <v>1118.2</v>
      </c>
      <c r="I5" s="1">
        <v>439.5</v>
      </c>
      <c r="J5" s="8">
        <v>313.39999999999998</v>
      </c>
      <c r="K5" s="1">
        <v>464.64</v>
      </c>
      <c r="L5" s="8">
        <v>575</v>
      </c>
      <c r="M5" s="1">
        <v>2576.8000000000002</v>
      </c>
      <c r="N5" s="1">
        <v>4883.45</v>
      </c>
      <c r="O5" s="1">
        <v>5.2115</v>
      </c>
      <c r="P5" s="1">
        <v>4.9865000000000004</v>
      </c>
      <c r="Q5" s="1">
        <v>5.4965999999999999</v>
      </c>
      <c r="R5" s="3">
        <v>0.72150000000000003</v>
      </c>
      <c r="S5" s="6"/>
      <c r="T5" s="6"/>
      <c r="U5" s="6"/>
      <c r="V5" s="6"/>
      <c r="W5" s="6"/>
    </row>
    <row r="6" spans="1:23" x14ac:dyDescent="0.25">
      <c r="A6" s="5">
        <v>45047</v>
      </c>
      <c r="B6" s="1">
        <v>1076.25</v>
      </c>
      <c r="C6" s="8">
        <v>383</v>
      </c>
      <c r="D6" s="8">
        <v>492.2</v>
      </c>
      <c r="E6" s="2">
        <v>3400</v>
      </c>
      <c r="F6" s="9">
        <v>2410</v>
      </c>
      <c r="G6" s="1">
        <v>1372.88</v>
      </c>
      <c r="H6" s="8">
        <v>1224.5999999999999</v>
      </c>
      <c r="I6" s="1">
        <v>422.57</v>
      </c>
      <c r="J6" s="8">
        <v>329.3</v>
      </c>
      <c r="K6" s="1">
        <v>442.68</v>
      </c>
      <c r="L6" s="8">
        <v>555</v>
      </c>
      <c r="M6" s="1">
        <v>2414.0100000000002</v>
      </c>
      <c r="N6" s="1">
        <v>4644.8999999999996</v>
      </c>
      <c r="O6" s="1">
        <v>5.0209000000000001</v>
      </c>
      <c r="P6" s="1">
        <v>5.0574000000000003</v>
      </c>
      <c r="Q6" s="1">
        <v>5.4053000000000004</v>
      </c>
      <c r="R6" s="3">
        <v>0.71109999999999995</v>
      </c>
      <c r="S6" s="6"/>
      <c r="T6" s="6"/>
      <c r="U6" s="6"/>
      <c r="V6" s="6"/>
      <c r="W6" s="6"/>
    </row>
    <row r="7" spans="1:23" x14ac:dyDescent="0.25">
      <c r="A7" s="5">
        <v>45078</v>
      </c>
      <c r="B7" s="1">
        <v>985.53666666666675</v>
      </c>
      <c r="C7" s="8">
        <v>384.9</v>
      </c>
      <c r="D7" s="8">
        <v>493</v>
      </c>
      <c r="E7" s="2">
        <v>3400</v>
      </c>
      <c r="F7" s="9">
        <v>2252.8000000000002</v>
      </c>
      <c r="G7" s="1">
        <v>1302.28</v>
      </c>
      <c r="H7" s="8">
        <v>1098.5999999999999</v>
      </c>
      <c r="I7" s="1">
        <v>444.97</v>
      </c>
      <c r="J7" s="8">
        <v>287.5</v>
      </c>
      <c r="K7" s="1">
        <v>436.29</v>
      </c>
      <c r="L7" s="8">
        <v>545</v>
      </c>
      <c r="M7" s="1">
        <v>2369</v>
      </c>
      <c r="N7" s="1">
        <v>4339</v>
      </c>
      <c r="O7" s="1">
        <v>4.9812000000000003</v>
      </c>
      <c r="P7" s="1">
        <v>4.7859999999999996</v>
      </c>
      <c r="Q7" s="1">
        <v>5.2214999999999998</v>
      </c>
      <c r="R7" s="3">
        <v>0.65980000000000005</v>
      </c>
      <c r="S7" s="6"/>
      <c r="T7" s="6"/>
      <c r="U7" s="6"/>
      <c r="V7" s="6"/>
      <c r="W7" s="6"/>
    </row>
    <row r="8" spans="1:23" x14ac:dyDescent="0.25">
      <c r="A8" s="5">
        <v>45108</v>
      </c>
      <c r="B8" s="1">
        <v>871.125</v>
      </c>
      <c r="C8" s="8">
        <v>370.1</v>
      </c>
      <c r="D8" s="8">
        <v>515</v>
      </c>
      <c r="E8" s="2">
        <v>3300</v>
      </c>
      <c r="F8" s="9">
        <v>2191.6999999999998</v>
      </c>
      <c r="G8" s="1">
        <v>1273.48</v>
      </c>
      <c r="H8" s="8">
        <v>1141.9000000000001</v>
      </c>
      <c r="I8" s="1">
        <v>407.83</v>
      </c>
      <c r="J8" s="8">
        <v>334.6</v>
      </c>
      <c r="K8" s="1">
        <v>422.21</v>
      </c>
      <c r="L8" s="8">
        <v>529</v>
      </c>
      <c r="M8" s="1">
        <v>2273.7399999999998</v>
      </c>
      <c r="N8" s="1">
        <v>4241.5</v>
      </c>
      <c r="O8" s="1">
        <v>4.8516000000000004</v>
      </c>
      <c r="P8" s="1">
        <v>4.7241</v>
      </c>
      <c r="Q8" s="1">
        <v>5.1943999999999999</v>
      </c>
      <c r="R8" s="3">
        <v>0.6613</v>
      </c>
      <c r="S8" s="6"/>
      <c r="T8" s="6"/>
      <c r="U8" s="6"/>
      <c r="V8" s="6"/>
      <c r="W8" s="6"/>
    </row>
    <row r="9" spans="1:23" x14ac:dyDescent="0.25">
      <c r="A9" s="5">
        <v>45139</v>
      </c>
      <c r="B9" s="1">
        <v>801.41000000000008</v>
      </c>
      <c r="C9" s="8">
        <v>370.5</v>
      </c>
      <c r="D9" s="8">
        <v>526.70000000000005</v>
      </c>
      <c r="E9" s="2">
        <v>3300</v>
      </c>
      <c r="F9" s="9">
        <v>2243.1999999999998</v>
      </c>
      <c r="G9" s="1">
        <v>1254.52</v>
      </c>
      <c r="H9" s="8">
        <v>1069.5</v>
      </c>
      <c r="I9" s="1">
        <v>453.78</v>
      </c>
      <c r="J9" s="8">
        <v>385.6</v>
      </c>
      <c r="K9" s="1">
        <v>406.12</v>
      </c>
      <c r="L9" s="8">
        <v>516</v>
      </c>
      <c r="M9" s="1">
        <v>2330.84</v>
      </c>
      <c r="N9" s="1">
        <v>4138.42</v>
      </c>
      <c r="O9" s="1">
        <v>4.8</v>
      </c>
      <c r="P9" s="1">
        <v>4.9543999999999997</v>
      </c>
      <c r="Q9" s="1">
        <v>5.3711000000000002</v>
      </c>
      <c r="R9" s="3">
        <v>0.6825</v>
      </c>
      <c r="S9" s="6"/>
      <c r="T9" s="6"/>
      <c r="U9" s="6"/>
      <c r="V9" s="6"/>
      <c r="W9" s="6"/>
    </row>
    <row r="10" spans="1:23" x14ac:dyDescent="0.25">
      <c r="A10" s="5">
        <v>45170</v>
      </c>
      <c r="B10" s="1">
        <v>806.7650000000001</v>
      </c>
      <c r="C10" s="8">
        <v>357.5</v>
      </c>
      <c r="D10" s="8">
        <v>545.29999999999995</v>
      </c>
      <c r="E10" s="2">
        <v>3300</v>
      </c>
      <c r="F10" s="9">
        <v>2320.3000000000002</v>
      </c>
      <c r="G10" s="1">
        <v>1280.46</v>
      </c>
      <c r="H10" s="8">
        <v>916.6</v>
      </c>
      <c r="I10" s="1">
        <v>528.76</v>
      </c>
      <c r="J10" s="8">
        <v>380</v>
      </c>
      <c r="K10" s="1">
        <v>403.17</v>
      </c>
      <c r="L10" s="8">
        <v>516</v>
      </c>
      <c r="M10" s="1">
        <v>2432</v>
      </c>
      <c r="N10" s="1">
        <v>4138.42</v>
      </c>
      <c r="O10" s="1">
        <v>4.9010999999999996</v>
      </c>
      <c r="P10" s="1">
        <v>5.032</v>
      </c>
      <c r="Q10" s="1">
        <v>5.3194999999999997</v>
      </c>
      <c r="R10" s="3">
        <v>0.68920000000000003</v>
      </c>
      <c r="S10" s="6"/>
      <c r="T10" s="6"/>
      <c r="U10" s="6"/>
      <c r="V10" s="6"/>
      <c r="W10" s="6"/>
    </row>
    <row r="11" spans="1:23" x14ac:dyDescent="0.25">
      <c r="A11" s="5">
        <v>45200</v>
      </c>
      <c r="B11" s="1">
        <v>850.92</v>
      </c>
      <c r="C11" s="8">
        <v>368.6</v>
      </c>
      <c r="D11" s="8">
        <v>576</v>
      </c>
      <c r="E11" s="2">
        <v>3150</v>
      </c>
      <c r="F11" s="9">
        <v>2367.6</v>
      </c>
      <c r="G11" s="1">
        <v>1336.1</v>
      </c>
      <c r="H11" s="8">
        <v>978</v>
      </c>
      <c r="I11" s="1">
        <v>521.23</v>
      </c>
      <c r="J11" s="8">
        <v>411.4</v>
      </c>
      <c r="K11" s="1">
        <v>406.03</v>
      </c>
      <c r="L11" s="8">
        <v>516</v>
      </c>
      <c r="M11" s="1">
        <v>2432</v>
      </c>
      <c r="N11" s="1">
        <v>4138.42</v>
      </c>
      <c r="O11" s="1">
        <v>4.9370000000000003</v>
      </c>
      <c r="P11" s="1">
        <v>5.0350000000000001</v>
      </c>
      <c r="Q11" s="1">
        <v>5.3250000000000002</v>
      </c>
      <c r="R11" s="3">
        <v>0.68810000000000004</v>
      </c>
      <c r="S11" s="6"/>
      <c r="T11" s="6"/>
      <c r="U11" s="6"/>
      <c r="V11" s="6"/>
      <c r="W11" s="6"/>
    </row>
    <row r="12" spans="1:23" x14ac:dyDescent="0.25">
      <c r="A12" s="5">
        <v>45231</v>
      </c>
      <c r="B12" s="1">
        <v>898.22</v>
      </c>
      <c r="C12" s="8">
        <v>415.4</v>
      </c>
      <c r="D12" s="8">
        <v>623.1</v>
      </c>
      <c r="E12" s="2">
        <v>3150</v>
      </c>
      <c r="F12" s="9">
        <v>2370.5</v>
      </c>
      <c r="G12" s="1">
        <v>1336.1</v>
      </c>
      <c r="H12" s="8">
        <v>1035.2</v>
      </c>
      <c r="I12" s="1">
        <v>521.23</v>
      </c>
      <c r="J12" s="8">
        <v>385.5</v>
      </c>
      <c r="K12" s="1">
        <v>406.03</v>
      </c>
      <c r="L12" s="8">
        <v>549</v>
      </c>
      <c r="M12" s="1">
        <v>2432</v>
      </c>
      <c r="N12" s="1">
        <v>4138.42</v>
      </c>
      <c r="O12" s="1">
        <v>4.9370000000000003</v>
      </c>
      <c r="P12" s="1">
        <v>4.9204999999999997</v>
      </c>
      <c r="Q12" s="1">
        <v>5.3559999999999999</v>
      </c>
      <c r="R12" s="3">
        <v>0.6895</v>
      </c>
      <c r="S12" s="6"/>
      <c r="T12" s="6"/>
      <c r="U12" s="6"/>
      <c r="V12" s="6"/>
      <c r="W12" s="6"/>
    </row>
    <row r="13" spans="1:23" x14ac:dyDescent="0.25">
      <c r="A13" s="5">
        <v>45261</v>
      </c>
      <c r="B13" s="1">
        <v>972.65499999999997</v>
      </c>
      <c r="C13" s="8">
        <v>381.3</v>
      </c>
      <c r="D13" s="8">
        <v>638</v>
      </c>
      <c r="E13" s="2">
        <v>3150</v>
      </c>
      <c r="F13" s="9">
        <v>2320.1999999999998</v>
      </c>
      <c r="G13" s="1">
        <v>1493.06</v>
      </c>
      <c r="H13" s="8">
        <v>1067.0999999999999</v>
      </c>
      <c r="I13" s="1">
        <v>496.94</v>
      </c>
      <c r="J13" s="8">
        <v>354</v>
      </c>
      <c r="K13" s="1">
        <v>463.78</v>
      </c>
      <c r="L13" s="8">
        <v>575</v>
      </c>
      <c r="M13" s="1">
        <v>2432</v>
      </c>
      <c r="N13" s="1">
        <v>4138.42</v>
      </c>
      <c r="O13" s="1">
        <v>4.8982999999999999</v>
      </c>
      <c r="P13" s="1">
        <v>4.8521000000000001</v>
      </c>
      <c r="Q13" s="1">
        <v>5.3548</v>
      </c>
      <c r="R13" s="3">
        <v>0.68320000000000003</v>
      </c>
      <c r="S13" s="6"/>
      <c r="T13" s="6"/>
      <c r="U13" s="6"/>
      <c r="V13" s="6"/>
      <c r="W13" s="6"/>
    </row>
    <row r="14" spans="1:23" x14ac:dyDescent="0.25">
      <c r="A14" s="5">
        <v>45292</v>
      </c>
      <c r="B14" s="1">
        <v>1045.97</v>
      </c>
      <c r="C14" s="8">
        <v>404.1</v>
      </c>
      <c r="D14" s="8">
        <v>651.1</v>
      </c>
      <c r="E14" s="2">
        <v>3125</v>
      </c>
      <c r="F14" s="9">
        <v>2295</v>
      </c>
      <c r="G14" s="1">
        <v>1228.46</v>
      </c>
      <c r="H14" s="8">
        <v>1046.5</v>
      </c>
      <c r="I14" s="1">
        <v>460.16</v>
      </c>
      <c r="J14" s="8">
        <v>335.4</v>
      </c>
      <c r="K14" s="1">
        <v>445.96</v>
      </c>
      <c r="L14" s="8">
        <v>575</v>
      </c>
      <c r="M14" s="1">
        <v>2319</v>
      </c>
      <c r="N14" s="1">
        <v>3990</v>
      </c>
      <c r="O14" s="1">
        <v>4.9077000000000002</v>
      </c>
      <c r="P14" s="1">
        <v>4.9526000000000003</v>
      </c>
      <c r="Q14" s="1">
        <v>5.3567</v>
      </c>
      <c r="R14" s="3">
        <v>0.69089999999999996</v>
      </c>
      <c r="S14" s="6"/>
      <c r="T14" s="6">
        <f>5000*0.83</f>
        <v>4150</v>
      </c>
      <c r="U14" s="6"/>
      <c r="V14" s="6"/>
      <c r="W14" s="6"/>
    </row>
    <row r="15" spans="1:23" x14ac:dyDescent="0.25">
      <c r="A15" s="5">
        <v>45323</v>
      </c>
      <c r="B15" s="1">
        <v>1142.08</v>
      </c>
      <c r="C15" s="8">
        <v>434.9</v>
      </c>
      <c r="D15" s="8">
        <v>653.29999999999995</v>
      </c>
      <c r="E15" s="2">
        <v>3125</v>
      </c>
      <c r="F15" s="9">
        <v>2318.6</v>
      </c>
      <c r="G15" s="1">
        <v>1265.56</v>
      </c>
      <c r="H15" s="8">
        <v>1045.5</v>
      </c>
      <c r="I15" s="1">
        <v>462.98</v>
      </c>
      <c r="J15" s="8">
        <v>351.3</v>
      </c>
      <c r="K15" s="1">
        <v>452.97</v>
      </c>
      <c r="L15" s="8">
        <v>575</v>
      </c>
      <c r="M15" s="1">
        <v>2319</v>
      </c>
      <c r="N15" s="1">
        <v>3990</v>
      </c>
      <c r="O15" s="1">
        <v>4.9143999999999997</v>
      </c>
      <c r="P15" s="1">
        <v>4.9715999999999996</v>
      </c>
      <c r="Q15" s="1">
        <v>5.3708</v>
      </c>
      <c r="R15" s="3">
        <v>0.6915</v>
      </c>
      <c r="S15" s="6"/>
      <c r="T15" s="6">
        <f>3600*0.83</f>
        <v>2988</v>
      </c>
      <c r="U15" s="6"/>
      <c r="V15" s="6"/>
      <c r="W15" s="6"/>
    </row>
    <row r="16" spans="1:23" x14ac:dyDescent="0.25">
      <c r="A16" s="5">
        <v>45352</v>
      </c>
      <c r="B16" s="1">
        <v>1217.5</v>
      </c>
      <c r="C16" s="8">
        <v>459.4</v>
      </c>
      <c r="D16" s="8">
        <v>666.3</v>
      </c>
      <c r="E16" s="2">
        <v>3125</v>
      </c>
      <c r="F16" s="9">
        <v>2370.6999999999998</v>
      </c>
      <c r="G16" s="1">
        <v>1297.18</v>
      </c>
      <c r="H16" s="8">
        <v>1045.5</v>
      </c>
      <c r="I16" s="1">
        <v>519.19000000000005</v>
      </c>
      <c r="J16" s="8">
        <v>330</v>
      </c>
      <c r="K16" s="1">
        <v>461.02</v>
      </c>
      <c r="L16" s="8">
        <v>609</v>
      </c>
      <c r="M16" s="1">
        <v>2404</v>
      </c>
      <c r="N16" s="1">
        <v>4073</v>
      </c>
      <c r="O16" s="1">
        <v>4.9642999999999997</v>
      </c>
      <c r="P16" s="1">
        <v>5.0152999999999999</v>
      </c>
      <c r="Q16" s="1">
        <v>5.4119999999999999</v>
      </c>
      <c r="R16" s="3">
        <v>0.69440000000000002</v>
      </c>
      <c r="S16" s="6"/>
      <c r="T16" s="6">
        <f>2700*0.83</f>
        <v>2241</v>
      </c>
      <c r="U16" s="6"/>
      <c r="V16" s="6"/>
      <c r="W16" s="6"/>
    </row>
    <row r="17" spans="1:23" x14ac:dyDescent="0.25">
      <c r="A17" s="5">
        <v>45383</v>
      </c>
      <c r="B17" s="1">
        <v>1300.96</v>
      </c>
      <c r="C17" s="8">
        <v>476.8</v>
      </c>
      <c r="D17" s="8">
        <v>698.5</v>
      </c>
      <c r="E17" s="2">
        <v>3125</v>
      </c>
      <c r="F17" s="9">
        <v>2378.4</v>
      </c>
      <c r="G17" s="1">
        <v>1305.54</v>
      </c>
      <c r="H17" s="8">
        <v>1058.7</v>
      </c>
      <c r="I17" s="1">
        <v>493.09</v>
      </c>
      <c r="J17" s="8">
        <v>320</v>
      </c>
      <c r="K17" s="1">
        <v>480.67</v>
      </c>
      <c r="L17" s="8">
        <v>632</v>
      </c>
      <c r="M17" s="1">
        <v>2321.09</v>
      </c>
      <c r="N17" s="1">
        <v>3982.24</v>
      </c>
      <c r="O17" s="1">
        <v>4.9801000000000002</v>
      </c>
      <c r="P17" s="1">
        <v>5.1933999999999996</v>
      </c>
      <c r="Q17" s="1">
        <v>5.5381999999999998</v>
      </c>
      <c r="R17" s="3">
        <v>0.71709999999999996</v>
      </c>
      <c r="S17" s="6"/>
      <c r="T17" s="6">
        <f>3600*0.83</f>
        <v>2988</v>
      </c>
      <c r="U17" s="6"/>
      <c r="V17" s="6"/>
      <c r="W17" s="6"/>
    </row>
    <row r="18" spans="1:23" x14ac:dyDescent="0.25">
      <c r="A18" s="5">
        <v>45413</v>
      </c>
      <c r="B18" s="1">
        <v>1380.63</v>
      </c>
      <c r="C18" s="8">
        <v>528.70000000000005</v>
      </c>
      <c r="D18" s="8">
        <v>720.1</v>
      </c>
      <c r="E18" s="2">
        <v>3205</v>
      </c>
      <c r="F18" s="9">
        <v>2345.8000000000002</v>
      </c>
      <c r="G18" s="1">
        <v>1293.6600000000001</v>
      </c>
      <c r="H18" s="8">
        <v>1025.4000000000001</v>
      </c>
      <c r="I18" s="1">
        <v>425.28</v>
      </c>
      <c r="J18" s="8">
        <v>284.8</v>
      </c>
      <c r="K18" s="1">
        <v>487.85</v>
      </c>
      <c r="L18" s="8">
        <v>645</v>
      </c>
      <c r="M18" s="1">
        <v>2349.88</v>
      </c>
      <c r="N18" s="1">
        <v>4149</v>
      </c>
      <c r="O18" s="1">
        <v>5.1291000000000002</v>
      </c>
      <c r="P18" s="1">
        <v>5.2443</v>
      </c>
      <c r="Q18" s="1">
        <v>5.6852999999999998</v>
      </c>
      <c r="R18" s="3">
        <v>0.72419999999999995</v>
      </c>
      <c r="S18" s="6"/>
      <c r="T18" s="6">
        <f>7300*0.83</f>
        <v>6059</v>
      </c>
      <c r="U18" s="6"/>
      <c r="V18" s="6"/>
      <c r="W18" s="6"/>
    </row>
    <row r="19" spans="1:23" x14ac:dyDescent="0.25">
      <c r="A19" s="5">
        <v>45444</v>
      </c>
      <c r="B19" s="1">
        <v>1439.55</v>
      </c>
      <c r="C19" s="8">
        <v>568.9</v>
      </c>
      <c r="D19" s="8">
        <v>740.3</v>
      </c>
      <c r="E19" s="2">
        <v>3210</v>
      </c>
      <c r="F19" s="9">
        <v>2219.8000000000002</v>
      </c>
      <c r="G19" s="1">
        <v>1328.4</v>
      </c>
      <c r="H19" s="8">
        <v>1008.6</v>
      </c>
      <c r="I19" s="1">
        <v>403.43</v>
      </c>
      <c r="J19" s="8">
        <v>336.3</v>
      </c>
      <c r="K19" s="1">
        <v>492.94</v>
      </c>
      <c r="L19" s="8">
        <v>662</v>
      </c>
      <c r="M19" s="1">
        <v>2329</v>
      </c>
      <c r="N19" s="1">
        <v>4014.28</v>
      </c>
      <c r="O19" s="1">
        <v>5.13</v>
      </c>
      <c r="P19" s="1">
        <v>5.5925000000000002</v>
      </c>
      <c r="Q19" s="1">
        <v>5.9912000000000001</v>
      </c>
      <c r="R19" s="3">
        <v>0.76949999999999996</v>
      </c>
      <c r="S19" s="6"/>
      <c r="T19" s="6">
        <f>8900*0.83</f>
        <v>7387</v>
      </c>
      <c r="U19" s="6"/>
      <c r="V19" s="6"/>
      <c r="W19" s="6"/>
    </row>
    <row r="20" spans="1:23" x14ac:dyDescent="0.25">
      <c r="A20" s="5">
        <v>45474</v>
      </c>
      <c r="B20" s="1">
        <v>1439.5349999999999</v>
      </c>
      <c r="C20" s="8">
        <v>599.29999999999995</v>
      </c>
      <c r="D20" s="8">
        <v>737.9</v>
      </c>
      <c r="E20" s="2">
        <v>3210</v>
      </c>
      <c r="F20" s="9">
        <v>2173.6999999999998</v>
      </c>
      <c r="G20" s="1">
        <v>1311.13</v>
      </c>
      <c r="H20" s="8">
        <v>995.5</v>
      </c>
      <c r="I20" s="1">
        <v>442.81</v>
      </c>
      <c r="J20" s="8">
        <v>342.5</v>
      </c>
      <c r="K20" s="1">
        <v>505</v>
      </c>
      <c r="L20" s="8">
        <v>679</v>
      </c>
      <c r="M20" s="1">
        <v>2475</v>
      </c>
      <c r="N20" s="1">
        <v>4093.23</v>
      </c>
      <c r="O20" s="1">
        <v>5.3890000000000002</v>
      </c>
      <c r="P20" s="1">
        <v>5.65</v>
      </c>
      <c r="Q20" s="1">
        <v>6.1161000000000003</v>
      </c>
      <c r="R20" s="3">
        <v>0.78249999999999997</v>
      </c>
      <c r="S20" s="6"/>
      <c r="T20" s="6">
        <f>9000*0.83</f>
        <v>7470</v>
      </c>
      <c r="U20" s="6"/>
      <c r="V20" s="6"/>
      <c r="W20" s="6"/>
    </row>
    <row r="21" spans="1:23" x14ac:dyDescent="0.25">
      <c r="A21" s="5">
        <v>45505</v>
      </c>
      <c r="B21" s="1">
        <v>1371.58</v>
      </c>
      <c r="C21" s="8">
        <v>612.9</v>
      </c>
      <c r="D21" s="8">
        <v>638.20000000000005</v>
      </c>
      <c r="E21" s="2">
        <v>3255</v>
      </c>
      <c r="F21" s="9">
        <v>2212.9</v>
      </c>
      <c r="G21" s="1">
        <v>1376.95</v>
      </c>
      <c r="H21" s="8">
        <v>1016</v>
      </c>
      <c r="I21" s="1">
        <v>460.25</v>
      </c>
      <c r="J21" s="8">
        <v>342.5</v>
      </c>
      <c r="K21" s="1">
        <v>517.32000000000005</v>
      </c>
      <c r="L21" s="8">
        <v>695</v>
      </c>
      <c r="M21" s="1">
        <v>2580</v>
      </c>
      <c r="N21" s="1">
        <v>4340</v>
      </c>
      <c r="O21" s="1">
        <v>5.5419999999999998</v>
      </c>
      <c r="P21" s="1">
        <v>5.6102999999999996</v>
      </c>
      <c r="Q21" s="1">
        <v>6.1977000000000002</v>
      </c>
      <c r="R21" s="3">
        <v>0.79110000000000003</v>
      </c>
      <c r="S21" s="6"/>
      <c r="T21" s="6">
        <f>7800*0.83</f>
        <v>6474</v>
      </c>
      <c r="U21" s="6"/>
      <c r="V21" s="6"/>
      <c r="W21" s="6"/>
    </row>
    <row r="22" spans="1:23" x14ac:dyDescent="0.25">
      <c r="A22" s="5">
        <v>45536</v>
      </c>
      <c r="B22" s="1">
        <v>1283.6666666666667</v>
      </c>
      <c r="C22" s="8">
        <v>605.79999999999995</v>
      </c>
      <c r="D22" s="8">
        <v>572.5</v>
      </c>
      <c r="E22" s="2">
        <v>3255</v>
      </c>
      <c r="F22" s="9">
        <v>2223</v>
      </c>
      <c r="G22" s="1">
        <v>1376.95</v>
      </c>
      <c r="H22" s="8">
        <v>946</v>
      </c>
      <c r="I22" s="1">
        <v>447.9</v>
      </c>
      <c r="J22" s="8">
        <v>337.5</v>
      </c>
      <c r="K22" s="1">
        <v>530.65</v>
      </c>
      <c r="L22" s="8">
        <v>722</v>
      </c>
      <c r="M22" s="1">
        <v>2580</v>
      </c>
      <c r="N22" s="1">
        <v>4362</v>
      </c>
      <c r="O22" s="1">
        <v>5.5526</v>
      </c>
      <c r="P22" s="1">
        <v>5.4481999999999999</v>
      </c>
      <c r="Q22" s="1">
        <v>6.0677000000000003</v>
      </c>
      <c r="R22" s="3">
        <v>0.77639999999999998</v>
      </c>
      <c r="S22" s="6"/>
      <c r="T22" s="6">
        <f>7000*0.83</f>
        <v>5810</v>
      </c>
      <c r="U22" s="6"/>
      <c r="V22" s="6"/>
      <c r="W22" s="6"/>
    </row>
    <row r="23" spans="1:23" x14ac:dyDescent="0.25">
      <c r="A23" s="5">
        <v>45566</v>
      </c>
      <c r="B23" s="1">
        <v>1176.0166666666667</v>
      </c>
      <c r="C23" s="8">
        <v>542</v>
      </c>
      <c r="D23" s="8">
        <v>562</v>
      </c>
      <c r="E23" s="2">
        <v>3255</v>
      </c>
      <c r="F23" s="9">
        <v>2182.6</v>
      </c>
      <c r="G23" s="1">
        <v>1430.12</v>
      </c>
      <c r="H23" s="8">
        <v>989.5</v>
      </c>
      <c r="I23" s="1">
        <v>444.64</v>
      </c>
      <c r="J23" s="8">
        <v>374.8</v>
      </c>
      <c r="K23" s="1">
        <v>541.29</v>
      </c>
      <c r="L23" s="8">
        <v>738</v>
      </c>
      <c r="M23" s="1">
        <v>2580</v>
      </c>
      <c r="N23" s="1">
        <v>4395</v>
      </c>
      <c r="O23" s="1">
        <v>5.5415999999999999</v>
      </c>
      <c r="P23" s="1">
        <v>5.7866999999999997</v>
      </c>
      <c r="Q23" s="1">
        <v>6.2976999999999999</v>
      </c>
      <c r="R23" s="3">
        <v>0.81289999999999996</v>
      </c>
      <c r="S23" s="4">
        <v>729.30000000000007</v>
      </c>
      <c r="T23" s="4">
        <v>5120.8333333333339</v>
      </c>
      <c r="U23" s="4">
        <v>3323.5</v>
      </c>
      <c r="V23" s="4">
        <v>3250</v>
      </c>
      <c r="W23" s="4">
        <v>4773</v>
      </c>
    </row>
    <row r="24" spans="1:23" x14ac:dyDescent="0.25">
      <c r="A24" s="5">
        <v>45597</v>
      </c>
      <c r="B24" s="1">
        <v>1060</v>
      </c>
      <c r="C24" s="8">
        <v>519.6</v>
      </c>
      <c r="D24" s="8">
        <v>553.9</v>
      </c>
      <c r="E24" s="2">
        <v>3255</v>
      </c>
      <c r="F24" s="9">
        <v>2106.1</v>
      </c>
      <c r="G24" s="1">
        <v>1384.2</v>
      </c>
      <c r="H24" s="8">
        <v>1025.7</v>
      </c>
      <c r="I24" s="1">
        <v>476.73</v>
      </c>
      <c r="J24" s="8">
        <v>352.3</v>
      </c>
      <c r="K24" s="1">
        <v>568.09</v>
      </c>
      <c r="L24" s="8">
        <v>785</v>
      </c>
      <c r="M24" s="1">
        <v>2690</v>
      </c>
      <c r="N24" s="1">
        <v>4380</v>
      </c>
      <c r="O24" s="1">
        <v>5.6170999999999998</v>
      </c>
      <c r="P24" s="1">
        <v>5.9729999999999999</v>
      </c>
      <c r="Q24" s="1">
        <v>6.3163999999999998</v>
      </c>
      <c r="R24" s="3">
        <v>0.8246</v>
      </c>
      <c r="S24" s="4">
        <v>729.30000000000007</v>
      </c>
      <c r="T24" s="4">
        <v>4652.7777777777774</v>
      </c>
      <c r="U24" s="4">
        <v>5473</v>
      </c>
      <c r="V24" s="4">
        <v>4699</v>
      </c>
      <c r="W24" s="4">
        <v>5873</v>
      </c>
    </row>
    <row r="25" spans="1:23" x14ac:dyDescent="0.25">
      <c r="A25" s="5">
        <v>45627</v>
      </c>
      <c r="B25" s="1">
        <v>1003.64</v>
      </c>
      <c r="C25" s="8">
        <v>529.1</v>
      </c>
      <c r="D25" s="8">
        <v>546.70000000000005</v>
      </c>
      <c r="E25" s="2">
        <v>3255</v>
      </c>
      <c r="F25" s="9">
        <v>2055.8000000000002</v>
      </c>
      <c r="G25" s="1">
        <v>1357.29</v>
      </c>
      <c r="H25" s="8">
        <v>954.6</v>
      </c>
      <c r="I25" s="1">
        <v>466.49</v>
      </c>
      <c r="J25" s="8">
        <v>352</v>
      </c>
      <c r="K25" s="1">
        <v>593.6</v>
      </c>
      <c r="L25" s="8">
        <v>832</v>
      </c>
      <c r="M25" s="1">
        <v>2767</v>
      </c>
      <c r="N25" s="1">
        <v>4500</v>
      </c>
      <c r="O25" s="1">
        <v>5.7934000000000001</v>
      </c>
      <c r="P25" s="1">
        <v>6.1778000000000004</v>
      </c>
      <c r="Q25" s="1">
        <v>6.4023000000000003</v>
      </c>
      <c r="R25" s="3">
        <v>0.84719999999999995</v>
      </c>
      <c r="S25" s="4">
        <v>729.30000000000007</v>
      </c>
      <c r="T25" s="4">
        <v>4822.9166666666661</v>
      </c>
      <c r="U25" s="4">
        <v>5773</v>
      </c>
      <c r="V25" s="4">
        <v>5799</v>
      </c>
      <c r="W25" s="4">
        <v>5370</v>
      </c>
    </row>
    <row r="26" spans="1:23" x14ac:dyDescent="0.25">
      <c r="A26" s="5">
        <v>45658</v>
      </c>
      <c r="B26" s="1">
        <v>1000.02</v>
      </c>
      <c r="C26" s="8">
        <v>479.9</v>
      </c>
      <c r="D26" s="8">
        <v>552.1</v>
      </c>
      <c r="E26" s="2">
        <v>3255</v>
      </c>
      <c r="F26" s="9">
        <v>2042.3</v>
      </c>
      <c r="G26" s="1">
        <v>1363.262076</v>
      </c>
      <c r="H26" s="8">
        <v>1012.3</v>
      </c>
      <c r="I26" s="1">
        <v>472.83426400000002</v>
      </c>
      <c r="J26" s="8">
        <v>380.5</v>
      </c>
      <c r="K26" s="1">
        <v>667.91872000000001</v>
      </c>
      <c r="L26" s="8">
        <v>891</v>
      </c>
      <c r="M26" s="1">
        <v>2896</v>
      </c>
      <c r="N26" s="1">
        <v>4628</v>
      </c>
      <c r="O26" s="1">
        <v>6.0824906600000004</v>
      </c>
      <c r="P26" s="1">
        <v>5.8414999999999999</v>
      </c>
      <c r="Q26" s="1">
        <v>6.0537999999999998</v>
      </c>
      <c r="R26" s="3">
        <v>0.80559999999999998</v>
      </c>
      <c r="S26" s="4">
        <v>724.0200000000001</v>
      </c>
      <c r="T26" s="4">
        <v>3787.5</v>
      </c>
      <c r="U26" s="4">
        <v>4600</v>
      </c>
      <c r="V26" s="4">
        <v>4600</v>
      </c>
      <c r="W26" s="4">
        <v>4600</v>
      </c>
    </row>
    <row r="27" spans="1:23" x14ac:dyDescent="0.25">
      <c r="A27" s="5">
        <v>45689</v>
      </c>
      <c r="B27" s="1">
        <v>1100</v>
      </c>
      <c r="C27" s="8">
        <v>453.6</v>
      </c>
      <c r="D27" s="8">
        <v>580.9</v>
      </c>
      <c r="E27" s="2">
        <v>3190</v>
      </c>
      <c r="F27" s="9">
        <v>2067.8000000000002</v>
      </c>
      <c r="G27" s="1">
        <v>1339.4049896700001</v>
      </c>
      <c r="H27" s="8">
        <v>932.4</v>
      </c>
      <c r="I27" s="1">
        <v>511.98494105920003</v>
      </c>
      <c r="J27" s="8">
        <v>436.5</v>
      </c>
      <c r="K27" s="1">
        <v>690.42758086399999</v>
      </c>
      <c r="L27" s="8">
        <v>891</v>
      </c>
      <c r="M27" s="1">
        <v>2981</v>
      </c>
      <c r="N27" s="1">
        <v>4565.5749999999998</v>
      </c>
      <c r="O27" s="1">
        <v>6.0228822515320006</v>
      </c>
      <c r="P27" s="1">
        <v>5.8853999999999997</v>
      </c>
      <c r="Q27" s="1">
        <v>6.1067</v>
      </c>
      <c r="R27" s="3">
        <v>0.80800000000000005</v>
      </c>
      <c r="S27" s="4">
        <v>724.0200000000001</v>
      </c>
      <c r="T27" s="4">
        <v>3125</v>
      </c>
      <c r="U27" s="4">
        <v>4600</v>
      </c>
      <c r="V27" s="4">
        <v>4600</v>
      </c>
      <c r="W27" s="4">
        <v>4600</v>
      </c>
    </row>
    <row r="28" spans="1:23" x14ac:dyDescent="0.25">
      <c r="A28" s="5">
        <v>45717</v>
      </c>
      <c r="B28" s="1">
        <v>1160</v>
      </c>
      <c r="C28" s="8">
        <v>459.1</v>
      </c>
      <c r="D28" s="8">
        <v>593.70000000000005</v>
      </c>
      <c r="E28" s="2">
        <v>3190</v>
      </c>
      <c r="F28" s="9">
        <v>2109.5</v>
      </c>
      <c r="G28" s="1">
        <v>1267.0771202278202</v>
      </c>
      <c r="H28" s="8">
        <v>886.3</v>
      </c>
      <c r="I28" s="1">
        <v>582.38287045484003</v>
      </c>
      <c r="J28" s="8">
        <v>394.5</v>
      </c>
      <c r="K28" s="1">
        <v>691.32513671912318</v>
      </c>
      <c r="L28" s="8">
        <v>891</v>
      </c>
      <c r="M28" s="1">
        <v>2998.73</v>
      </c>
      <c r="N28" s="1">
        <v>4417.2049999999999</v>
      </c>
      <c r="O28" s="1">
        <v>5.7795578085701074</v>
      </c>
      <c r="P28" s="1">
        <v>5.7054999999999998</v>
      </c>
      <c r="Q28" s="1">
        <v>6.1718999999999999</v>
      </c>
      <c r="R28" s="3">
        <v>0.78620000000000001</v>
      </c>
      <c r="S28" s="4">
        <v>724.0200000000001</v>
      </c>
      <c r="T28" s="4">
        <v>1144</v>
      </c>
      <c r="U28" s="4">
        <v>3050</v>
      </c>
      <c r="V28" s="4">
        <v>2750</v>
      </c>
      <c r="W28" s="4">
        <v>2750</v>
      </c>
    </row>
    <row r="29" spans="1:23" x14ac:dyDescent="0.25">
      <c r="A29" s="5">
        <v>45748</v>
      </c>
      <c r="B29" s="1">
        <v>1214.46</v>
      </c>
      <c r="C29" s="8">
        <v>469.3</v>
      </c>
      <c r="D29" s="8">
        <v>602.4</v>
      </c>
      <c r="E29" s="2">
        <v>3190</v>
      </c>
      <c r="F29" s="9">
        <v>2122.1999999999998</v>
      </c>
      <c r="G29" s="1">
        <v>1221.8424670356869</v>
      </c>
      <c r="H29" s="8">
        <v>816.5</v>
      </c>
      <c r="I29" s="1">
        <v>562.81480600755742</v>
      </c>
      <c r="J29" s="8">
        <v>386.9</v>
      </c>
      <c r="K29" s="1">
        <v>677.56776649841265</v>
      </c>
      <c r="L29" s="8">
        <v>891</v>
      </c>
      <c r="M29" s="1">
        <v>2892.66</v>
      </c>
      <c r="N29" s="1">
        <v>4266.7550000000001</v>
      </c>
      <c r="O29" s="1">
        <v>5.7685766487338244</v>
      </c>
      <c r="P29" s="1">
        <v>5.6748000000000003</v>
      </c>
      <c r="Q29" s="1">
        <v>6.4286000000000003</v>
      </c>
      <c r="R29" s="3">
        <v>0.78039999999999998</v>
      </c>
      <c r="S29" s="4">
        <v>724.0200000000001</v>
      </c>
      <c r="T29" s="4">
        <v>1700.75</v>
      </c>
      <c r="U29" s="4">
        <v>3050</v>
      </c>
      <c r="V29" s="4">
        <v>2750</v>
      </c>
      <c r="W29" s="4">
        <v>2750</v>
      </c>
    </row>
    <row r="30" spans="1:23" x14ac:dyDescent="0.25">
      <c r="A30" s="5">
        <v>45778</v>
      </c>
      <c r="B30" s="1">
        <v>1179.48</v>
      </c>
      <c r="C30" s="8">
        <v>443.9</v>
      </c>
      <c r="D30" s="8">
        <v>571.20000000000005</v>
      </c>
      <c r="E30" s="2">
        <v>3230</v>
      </c>
      <c r="F30" s="9">
        <v>2107.6999999999998</v>
      </c>
      <c r="G30" s="1">
        <v>1209.0131211318121</v>
      </c>
      <c r="H30" s="8">
        <v>813.5</v>
      </c>
      <c r="I30" s="1">
        <v>543.84794704510273</v>
      </c>
      <c r="J30" s="8">
        <v>392</v>
      </c>
      <c r="K30" s="1">
        <v>647.07721700598404</v>
      </c>
      <c r="L30" s="8">
        <v>832</v>
      </c>
      <c r="M30" s="1">
        <v>2750</v>
      </c>
      <c r="N30" s="1">
        <v>4250</v>
      </c>
      <c r="O30" s="1">
        <v>5.8199169809075553</v>
      </c>
      <c r="P30" s="1">
        <v>5.7226999999999997</v>
      </c>
      <c r="Q30" s="1">
        <v>6.4941000000000004</v>
      </c>
      <c r="R30" s="3">
        <v>0.79490000000000005</v>
      </c>
      <c r="S30" s="4">
        <v>724.0200000000001</v>
      </c>
      <c r="T30" s="4">
        <v>2100</v>
      </c>
      <c r="U30" s="4">
        <v>5133.5</v>
      </c>
      <c r="V30" s="4">
        <v>3815</v>
      </c>
      <c r="W30" s="4">
        <v>3905</v>
      </c>
    </row>
    <row r="31" spans="1:23" x14ac:dyDescent="0.25">
      <c r="A31" s="5">
        <v>45809</v>
      </c>
      <c r="B31" s="1">
        <v>1126.895</v>
      </c>
      <c r="C31" s="8">
        <v>426.7</v>
      </c>
      <c r="D31" s="8">
        <v>510.1</v>
      </c>
      <c r="E31" s="2">
        <v>3230</v>
      </c>
      <c r="F31" s="9">
        <v>1998.2</v>
      </c>
      <c r="G31" s="1">
        <v>1190.7570230027218</v>
      </c>
      <c r="H31" s="8">
        <v>810</v>
      </c>
      <c r="I31" s="1">
        <v>543.52163827687571</v>
      </c>
      <c r="J31" s="8">
        <v>420.5</v>
      </c>
      <c r="K31" s="1">
        <v>614.5939407122836</v>
      </c>
      <c r="L31" s="8">
        <v>778</v>
      </c>
      <c r="M31" s="1">
        <v>2680</v>
      </c>
      <c r="N31" s="1">
        <v>4145</v>
      </c>
      <c r="O31" s="1">
        <v>5.7198144088359451</v>
      </c>
      <c r="P31" s="1">
        <v>5.4325999999999999</v>
      </c>
      <c r="Q31" s="1">
        <v>6.4036999999999997</v>
      </c>
      <c r="R31" s="3">
        <v>0.75829999999999997</v>
      </c>
      <c r="S31" s="4">
        <v>724.0200000000001</v>
      </c>
      <c r="T31" s="4">
        <v>3902.7777777777778</v>
      </c>
      <c r="U31" s="4">
        <v>3345</v>
      </c>
      <c r="V31" s="4">
        <v>2800</v>
      </c>
      <c r="W31" s="4">
        <v>2800</v>
      </c>
    </row>
    <row r="32" spans="1:23" x14ac:dyDescent="0.25">
      <c r="A32" s="5">
        <v>45839</v>
      </c>
      <c r="B32" s="1">
        <v>1117.21</v>
      </c>
      <c r="C32" s="8">
        <v>411</v>
      </c>
      <c r="D32" s="8">
        <v>501</v>
      </c>
      <c r="E32" s="2">
        <v>3230</v>
      </c>
      <c r="F32" s="9">
        <v>1902.2</v>
      </c>
      <c r="G32" s="1">
        <v>1223.0265383260955</v>
      </c>
      <c r="H32" s="8">
        <v>941.6</v>
      </c>
      <c r="I32" s="1">
        <v>547.00017676184768</v>
      </c>
      <c r="J32" s="8">
        <v>496</v>
      </c>
      <c r="K32" s="1">
        <v>617.91274799212988</v>
      </c>
      <c r="L32" s="8">
        <v>795</v>
      </c>
      <c r="M32" s="1">
        <v>2665</v>
      </c>
      <c r="N32" s="1">
        <v>4015</v>
      </c>
      <c r="O32" s="1">
        <v>5.6031301948956918</v>
      </c>
      <c r="P32" s="1">
        <v>5.4824999999999999</v>
      </c>
      <c r="Q32" s="1">
        <v>6.4267000000000003</v>
      </c>
      <c r="R32" s="3">
        <v>0.76029999999999998</v>
      </c>
      <c r="S32" s="4">
        <v>706.2</v>
      </c>
      <c r="T32" s="4">
        <v>4781.25</v>
      </c>
      <c r="U32" s="4">
        <v>3190</v>
      </c>
      <c r="V32" s="4">
        <v>2600</v>
      </c>
      <c r="W32" s="4">
        <v>2600</v>
      </c>
    </row>
    <row r="33" spans="1:23" x14ac:dyDescent="0.25">
      <c r="A33" s="5">
        <v>45870</v>
      </c>
      <c r="B33" s="1">
        <v>1059.72</v>
      </c>
      <c r="C33" s="8">
        <v>398.2</v>
      </c>
      <c r="D33" s="8">
        <v>494.4</v>
      </c>
      <c r="E33" s="2">
        <v>3105</v>
      </c>
      <c r="F33" s="9">
        <v>1884.9</v>
      </c>
      <c r="G33" s="1">
        <v>1250.06</v>
      </c>
      <c r="H33" s="8">
        <v>771.2</v>
      </c>
      <c r="I33" s="1">
        <v>621.99</v>
      </c>
      <c r="J33" s="8">
        <v>507.7</v>
      </c>
      <c r="K33" s="1">
        <v>620.82000000000005</v>
      </c>
      <c r="L33" s="8">
        <v>778</v>
      </c>
      <c r="M33" s="1">
        <v>2775</v>
      </c>
      <c r="N33" s="1">
        <v>4015</v>
      </c>
      <c r="O33" s="1">
        <v>5.58</v>
      </c>
      <c r="P33" s="1">
        <v>5.6059999999999999</v>
      </c>
      <c r="Q33" s="1">
        <v>6.3979999999999997</v>
      </c>
      <c r="R33" s="3">
        <v>0.77859999999999996</v>
      </c>
      <c r="S33" s="4">
        <v>706.2</v>
      </c>
      <c r="T33" s="4">
        <v>3261.04</v>
      </c>
      <c r="U33" s="4">
        <v>3050</v>
      </c>
      <c r="V33" s="4">
        <v>2965</v>
      </c>
      <c r="W33" s="4">
        <v>3005</v>
      </c>
    </row>
    <row r="34" spans="1:23" x14ac:dyDescent="0.25">
      <c r="A34" s="5">
        <v>45901</v>
      </c>
      <c r="B34" s="1">
        <v>1000</v>
      </c>
      <c r="C34" s="8">
        <v>386.7</v>
      </c>
      <c r="D34" s="8">
        <v>504.6</v>
      </c>
      <c r="E34" s="2">
        <v>3105</v>
      </c>
      <c r="F34" s="9">
        <v>1930.5</v>
      </c>
      <c r="G34" s="1">
        <v>1277.68</v>
      </c>
      <c r="H34" s="8">
        <v>805.4</v>
      </c>
      <c r="I34" s="1">
        <v>661.8</v>
      </c>
      <c r="J34" s="8">
        <v>461.1</v>
      </c>
      <c r="K34" s="1">
        <v>624.73</v>
      </c>
      <c r="L34" s="8">
        <v>778</v>
      </c>
      <c r="M34" s="1">
        <v>2837</v>
      </c>
      <c r="N34" s="1">
        <v>3972</v>
      </c>
      <c r="O34" s="1">
        <v>5.5</v>
      </c>
      <c r="P34" s="1">
        <v>5.4572000000000003</v>
      </c>
      <c r="Q34" s="1">
        <v>6.3613</v>
      </c>
      <c r="R34" s="3">
        <v>0.7641</v>
      </c>
      <c r="S34" s="4">
        <v>591.25</v>
      </c>
      <c r="T34" s="4">
        <v>2660</v>
      </c>
      <c r="U34" s="4">
        <v>2746</v>
      </c>
      <c r="V34" s="4">
        <v>2450</v>
      </c>
      <c r="W34" s="4">
        <v>2450</v>
      </c>
    </row>
    <row r="35" spans="1:23" x14ac:dyDescent="0.25">
      <c r="A35" s="5">
        <v>45931</v>
      </c>
      <c r="B35" s="1">
        <v>1026.81</v>
      </c>
      <c r="C35" s="8">
        <v>421.9</v>
      </c>
      <c r="D35" s="8">
        <v>519.1</v>
      </c>
      <c r="E35" s="2">
        <v>3105</v>
      </c>
      <c r="F35" s="9">
        <v>1945.2</v>
      </c>
      <c r="G35" s="1">
        <v>1352.94</v>
      </c>
      <c r="H35" s="8">
        <v>835.4</v>
      </c>
      <c r="I35" s="1">
        <v>597.01</v>
      </c>
      <c r="J35" s="8">
        <v>394.4</v>
      </c>
      <c r="K35" s="1">
        <v>639.47</v>
      </c>
      <c r="L35" s="8">
        <v>802</v>
      </c>
      <c r="M35" s="1">
        <v>2751</v>
      </c>
      <c r="N35" s="1">
        <v>3950</v>
      </c>
      <c r="O35" s="1">
        <v>5.42</v>
      </c>
      <c r="P35" s="1">
        <v>5.3674090909090912</v>
      </c>
      <c r="Q35" s="1">
        <v>6.2997772727272743</v>
      </c>
      <c r="R35" s="3">
        <v>0.7534045454545456</v>
      </c>
      <c r="S35" s="4">
        <v>591.25</v>
      </c>
      <c r="T35" s="4">
        <v>1830</v>
      </c>
      <c r="U35" s="4">
        <v>2800</v>
      </c>
      <c r="V35" s="4">
        <v>1800</v>
      </c>
      <c r="W35" s="4">
        <v>1800</v>
      </c>
    </row>
    <row r="36" spans="1:23" x14ac:dyDescent="0.25">
      <c r="A36" s="5">
        <v>45962</v>
      </c>
      <c r="B36" s="1">
        <v>1064.5</v>
      </c>
      <c r="C36" s="8">
        <v>453.7</v>
      </c>
      <c r="D36" s="8">
        <v>530.79999999999995</v>
      </c>
      <c r="E36" s="2">
        <v>2990</v>
      </c>
      <c r="F36" s="9">
        <v>1912.2</v>
      </c>
      <c r="G36" s="1">
        <v>1312.08</v>
      </c>
      <c r="H36" s="8">
        <v>814.5</v>
      </c>
      <c r="I36" s="1">
        <v>551.64</v>
      </c>
      <c r="J36" s="8">
        <v>409.3</v>
      </c>
      <c r="K36" s="1">
        <v>642.86</v>
      </c>
      <c r="L36" s="8">
        <v>802</v>
      </c>
      <c r="M36" s="1">
        <v>2675</v>
      </c>
      <c r="N36" s="1">
        <v>3932</v>
      </c>
      <c r="O36" s="1">
        <v>5.44</v>
      </c>
      <c r="P36" s="1">
        <v>5.383</v>
      </c>
      <c r="Q36" s="1">
        <v>6.1881000000000004</v>
      </c>
      <c r="R36" s="3">
        <v>0.75490000000000002</v>
      </c>
      <c r="S36" s="4">
        <v>591.25</v>
      </c>
      <c r="T36" s="4">
        <v>1752.272727272727</v>
      </c>
      <c r="U36" s="4">
        <v>2345</v>
      </c>
      <c r="V36" s="4">
        <v>1436.5</v>
      </c>
      <c r="W36" s="4">
        <v>1436.5</v>
      </c>
    </row>
    <row r="37" spans="1:23" x14ac:dyDescent="0.25">
      <c r="A37" s="5">
        <v>45992</v>
      </c>
      <c r="B37" s="1">
        <v>1085</v>
      </c>
      <c r="C37" s="8">
        <v>451.4</v>
      </c>
      <c r="D37" s="8">
        <v>542.6</v>
      </c>
      <c r="E37" s="2">
        <v>2990</v>
      </c>
      <c r="F37" s="9">
        <v>1940.6</v>
      </c>
      <c r="G37" s="1">
        <v>1262.74</v>
      </c>
      <c r="H37" s="8">
        <v>795.5</v>
      </c>
      <c r="I37" s="1">
        <v>553.13</v>
      </c>
      <c r="J37" s="8">
        <v>392.5</v>
      </c>
      <c r="K37" s="1">
        <v>633.09</v>
      </c>
      <c r="L37" s="8">
        <v>802</v>
      </c>
      <c r="M37" s="1">
        <v>2550</v>
      </c>
      <c r="N37" s="1">
        <v>3758</v>
      </c>
      <c r="O37" s="1">
        <v>5.39</v>
      </c>
      <c r="P37" s="1">
        <v>5.4</v>
      </c>
      <c r="Q37" s="1">
        <v>6.3</v>
      </c>
      <c r="R37" s="3">
        <v>0.76</v>
      </c>
      <c r="S37" s="4">
        <v>591.25</v>
      </c>
      <c r="T37" s="4">
        <v>1688.6944444444443</v>
      </c>
      <c r="U37" s="4">
        <v>2632.5</v>
      </c>
      <c r="V37" s="4">
        <v>1290</v>
      </c>
      <c r="W37" s="4">
        <v>1292.5</v>
      </c>
    </row>
    <row r="38" spans="1:23" x14ac:dyDescent="0.25">
      <c r="A38" s="5">
        <v>46023</v>
      </c>
      <c r="B38" s="1">
        <v>1100</v>
      </c>
      <c r="C38" s="8">
        <v>469.7</v>
      </c>
      <c r="D38" s="8">
        <v>562.70000000000005</v>
      </c>
      <c r="E38" s="2">
        <v>2990</v>
      </c>
      <c r="F38" s="9">
        <v>1983</v>
      </c>
      <c r="G38" s="11">
        <v>1118.8699999999999</v>
      </c>
      <c r="H38" s="8">
        <v>767.8</v>
      </c>
      <c r="I38" s="11">
        <v>414.88</v>
      </c>
      <c r="J38" s="8">
        <v>415.4</v>
      </c>
      <c r="K38" s="11">
        <v>851</v>
      </c>
      <c r="L38" s="8">
        <v>851</v>
      </c>
      <c r="M38" s="1">
        <v>2584</v>
      </c>
      <c r="N38" s="1">
        <v>3818</v>
      </c>
      <c r="O38" s="1">
        <v>5.48</v>
      </c>
      <c r="P38" s="1">
        <v>5.42</v>
      </c>
      <c r="Q38" s="1">
        <v>6.35</v>
      </c>
      <c r="R38" s="3">
        <v>0.77539999999999998</v>
      </c>
      <c r="S38" s="4">
        <v>591.25</v>
      </c>
      <c r="T38" s="4">
        <v>1104.8</v>
      </c>
      <c r="U38" s="4">
        <v>1825.5</v>
      </c>
      <c r="V38" s="4">
        <v>1290</v>
      </c>
      <c r="W38" s="4">
        <v>1292.5</v>
      </c>
    </row>
    <row r="39" spans="1:23" x14ac:dyDescent="0.25">
      <c r="A39" s="5">
        <v>46054</v>
      </c>
      <c r="B39" s="1">
        <v>1128.3399999999999</v>
      </c>
      <c r="C39" s="8">
        <v>467.6</v>
      </c>
      <c r="D39" s="8">
        <v>585.1</v>
      </c>
      <c r="E39" s="2">
        <v>2990</v>
      </c>
      <c r="F39" s="9">
        <v>2012.6</v>
      </c>
      <c r="G39" s="11">
        <v>1095.74</v>
      </c>
      <c r="H39" s="8">
        <v>761.1</v>
      </c>
      <c r="I39" s="11">
        <v>414.88</v>
      </c>
      <c r="J39" s="8">
        <v>472</v>
      </c>
      <c r="K39" s="11">
        <v>925</v>
      </c>
      <c r="L39" s="8">
        <v>925</v>
      </c>
      <c r="M39" s="1">
        <v>2590</v>
      </c>
      <c r="N39" s="1">
        <v>3660</v>
      </c>
      <c r="O39" s="1">
        <v>5.4</v>
      </c>
      <c r="P39" s="1">
        <v>5.26</v>
      </c>
      <c r="Q39" s="1">
        <v>6.17</v>
      </c>
      <c r="R39" s="3">
        <v>0.75760000000000005</v>
      </c>
      <c r="S39" s="4">
        <v>591.25</v>
      </c>
      <c r="T39" s="4">
        <v>1046.4000000000001</v>
      </c>
      <c r="U39" s="4">
        <v>1825.5</v>
      </c>
      <c r="V39" s="4">
        <v>969.5</v>
      </c>
      <c r="W39" s="4">
        <v>969.5</v>
      </c>
    </row>
    <row r="40" spans="1:23" x14ac:dyDescent="0.25">
      <c r="A40" s="5">
        <v>46082</v>
      </c>
      <c r="B40" s="1">
        <v>1251</v>
      </c>
      <c r="C40" s="8">
        <v>469.4</v>
      </c>
      <c r="D40" s="8">
        <v>595</v>
      </c>
      <c r="E40" s="2">
        <v>2990</v>
      </c>
      <c r="F40" s="9">
        <v>2094.6</v>
      </c>
      <c r="G40" s="11">
        <v>1125.8599999999999</v>
      </c>
      <c r="H40" s="8">
        <v>773.8</v>
      </c>
      <c r="I40" s="11">
        <v>431.88</v>
      </c>
      <c r="J40" s="8">
        <v>725.6</v>
      </c>
      <c r="K40" s="11">
        <v>941</v>
      </c>
      <c r="L40" s="8">
        <v>941</v>
      </c>
      <c r="M40" s="1">
        <v>2681</v>
      </c>
      <c r="N40" s="1">
        <v>3670</v>
      </c>
      <c r="O40" s="1">
        <v>5.32</v>
      </c>
      <c r="P40" s="1">
        <v>5.21</v>
      </c>
      <c r="Q40" s="1">
        <v>6.05</v>
      </c>
      <c r="R40" s="3">
        <v>0.75700000000000001</v>
      </c>
      <c r="S40" s="4">
        <v>543.75</v>
      </c>
      <c r="T40" s="4">
        <v>3430</v>
      </c>
      <c r="U40" s="4">
        <v>1250</v>
      </c>
      <c r="V40" s="4">
        <v>987.5</v>
      </c>
      <c r="W40" s="4">
        <v>1192.5</v>
      </c>
    </row>
    <row r="41" spans="1:23" x14ac:dyDescent="0.25">
      <c r="A41" s="5">
        <v>46113</v>
      </c>
      <c r="B41" s="1">
        <v>1295</v>
      </c>
      <c r="C41" s="8">
        <v>469.2</v>
      </c>
      <c r="D41" s="8">
        <v>600</v>
      </c>
      <c r="E41" s="2">
        <v>2990</v>
      </c>
      <c r="F41" s="9">
        <v>2404.5</v>
      </c>
      <c r="G41" s="11">
        <v>1246</v>
      </c>
      <c r="H41" s="8">
        <v>986.5</v>
      </c>
      <c r="I41" s="11">
        <v>570.78</v>
      </c>
      <c r="J41" s="8">
        <v>856.9</v>
      </c>
      <c r="K41" s="11">
        <v>1247</v>
      </c>
      <c r="L41" s="8">
        <v>1247</v>
      </c>
      <c r="M41" s="1">
        <v>3100</v>
      </c>
      <c r="N41" s="1">
        <v>3950</v>
      </c>
      <c r="O41" s="1">
        <v>5.25</v>
      </c>
      <c r="P41" s="1">
        <v>5.18</v>
      </c>
      <c r="Q41" s="1">
        <v>5.99</v>
      </c>
      <c r="R41" s="3">
        <v>0.75129999999999997</v>
      </c>
      <c r="S41" s="4">
        <v>563.75</v>
      </c>
      <c r="T41" s="4">
        <v>2444.416666666667</v>
      </c>
      <c r="U41" s="4">
        <v>2785</v>
      </c>
      <c r="V41" s="4">
        <v>1735</v>
      </c>
      <c r="W41" s="4">
        <v>1860</v>
      </c>
    </row>
    <row r="42" spans="1:23" x14ac:dyDescent="0.25">
      <c r="A42" s="5">
        <v>46143</v>
      </c>
      <c r="B42" s="1">
        <v>1340.26</v>
      </c>
      <c r="C42" s="8">
        <v>495.4</v>
      </c>
      <c r="D42" s="8">
        <v>609</v>
      </c>
      <c r="E42" s="2">
        <v>3100</v>
      </c>
      <c r="F42" s="9">
        <v>2442.6999999999998</v>
      </c>
      <c r="G42" s="11">
        <v>1425</v>
      </c>
      <c r="H42" s="8">
        <v>1005.1</v>
      </c>
      <c r="I42" s="11">
        <v>824.8</v>
      </c>
      <c r="J42" s="8">
        <v>899.1</v>
      </c>
      <c r="K42" s="11">
        <v>1480</v>
      </c>
      <c r="L42" s="8">
        <v>1480</v>
      </c>
      <c r="M42" s="1">
        <v>3777</v>
      </c>
      <c r="N42" s="1">
        <v>4340</v>
      </c>
      <c r="O42" s="1">
        <v>5.05</v>
      </c>
      <c r="P42" s="1">
        <v>4.95</v>
      </c>
      <c r="Q42" s="1">
        <v>5.81</v>
      </c>
      <c r="R42" s="3">
        <v>0.72</v>
      </c>
      <c r="S42" s="4">
        <v>563.75</v>
      </c>
      <c r="T42" s="4">
        <v>2460.67</v>
      </c>
      <c r="U42" s="4">
        <v>2674.5</v>
      </c>
      <c r="V42" s="4">
        <v>1798.5</v>
      </c>
      <c r="W42" s="4">
        <v>1798.5</v>
      </c>
    </row>
    <row r="43" spans="1:23" x14ac:dyDescent="0.25">
      <c r="A43" s="5">
        <v>46174</v>
      </c>
      <c r="B43" s="1">
        <v>1380</v>
      </c>
      <c r="C43" s="8">
        <v>503.4</v>
      </c>
      <c r="D43" s="8">
        <v>622</v>
      </c>
      <c r="E43" s="2">
        <v>3100</v>
      </c>
      <c r="F43" s="9">
        <v>2418.3000000000002</v>
      </c>
      <c r="G43" s="11">
        <f>G42*(1 - 0.015)</f>
        <v>1403.625</v>
      </c>
      <c r="H43" s="8">
        <v>987.8</v>
      </c>
      <c r="I43" s="11">
        <f>I42*(1 - 0.0409)</f>
        <v>791.06567999999993</v>
      </c>
      <c r="J43" s="8">
        <v>838</v>
      </c>
      <c r="K43" s="11">
        <f>K42*(1-0.0127)</f>
        <v>1461.204</v>
      </c>
      <c r="L43" s="7">
        <v>1493.4</v>
      </c>
      <c r="M43" s="1">
        <v>3604</v>
      </c>
      <c r="N43" s="1">
        <v>4080</v>
      </c>
      <c r="O43">
        <f>O42*(1-0.0106)</f>
        <v>4.9964699999999995</v>
      </c>
      <c r="P43" s="1">
        <v>5</v>
      </c>
      <c r="Q43" s="1">
        <v>5.88</v>
      </c>
      <c r="R43" s="3">
        <v>0.73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Cardoso</dc:creator>
  <cp:lastModifiedBy>Marcelo Cardoso</cp:lastModifiedBy>
  <dcterms:created xsi:type="dcterms:W3CDTF">2025-07-09T15:34:14Z</dcterms:created>
  <dcterms:modified xsi:type="dcterms:W3CDTF">2026-06-03T13:01:55Z</dcterms:modified>
</cp:coreProperties>
</file>